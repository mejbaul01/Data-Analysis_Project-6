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 Course\Sourse\day 06\"/>
    </mc:Choice>
  </mc:AlternateContent>
  <xr:revisionPtr revIDLastSave="0" documentId="13_ncr:1_{F9FF6D79-C285-47A0-9A33-AEB401B5EDC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X1qx5cpdwOK3i3laqpz5HCApMhZpUBYTgQxJ8EtLfg="/>
    </ext>
  </extLst>
</workbook>
</file>

<file path=xl/calcChain.xml><?xml version="1.0" encoding="utf-8"?>
<calcChain xmlns="http://schemas.openxmlformats.org/spreadsheetml/2006/main">
  <c r="D9" i="2" l="1"/>
  <c r="D8" i="2"/>
  <c r="G10" i="2"/>
  <c r="G8" i="2"/>
  <c r="G3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<sst xmlns="http://schemas.openxmlformats.org/spreadsheetml/2006/main" count="67" uniqueCount="61">
  <si>
    <t>Emp ID</t>
  </si>
  <si>
    <t>Employee</t>
  </si>
  <si>
    <t>Department</t>
  </si>
  <si>
    <t>Revenue</t>
  </si>
  <si>
    <t>Target</t>
  </si>
  <si>
    <t>Profit</t>
  </si>
  <si>
    <t>Performance</t>
  </si>
  <si>
    <t>Payment Date</t>
  </si>
  <si>
    <t>E001</t>
  </si>
  <si>
    <t>Rahim</t>
  </si>
  <si>
    <t>Sales</t>
  </si>
  <si>
    <t>E002</t>
  </si>
  <si>
    <t>Karim</t>
  </si>
  <si>
    <t>Marketing</t>
  </si>
  <si>
    <t>E003</t>
  </si>
  <si>
    <t>Nabila</t>
  </si>
  <si>
    <t>HR</t>
  </si>
  <si>
    <t>E004</t>
  </si>
  <si>
    <t>Sohan</t>
  </si>
  <si>
    <t>IT</t>
  </si>
  <si>
    <t>E005</t>
  </si>
  <si>
    <t>Ayesha</t>
  </si>
  <si>
    <t>Finance</t>
  </si>
  <si>
    <t>E006</t>
  </si>
  <si>
    <t>Jannat</t>
  </si>
  <si>
    <t>E007</t>
  </si>
  <si>
    <t>Fahim</t>
  </si>
  <si>
    <t>E008</t>
  </si>
  <si>
    <t>Mim</t>
  </si>
  <si>
    <t>E009</t>
  </si>
  <si>
    <t>Tania</t>
  </si>
  <si>
    <t>E010</t>
  </si>
  <si>
    <t>Arif</t>
  </si>
  <si>
    <t>Month</t>
  </si>
  <si>
    <t>Students</t>
  </si>
  <si>
    <t>Courses Fee</t>
  </si>
  <si>
    <t>Slaes</t>
  </si>
  <si>
    <t>January</t>
  </si>
  <si>
    <t>February</t>
  </si>
  <si>
    <t>Total Sales</t>
  </si>
  <si>
    <t>March</t>
  </si>
  <si>
    <t>April</t>
  </si>
  <si>
    <t>May</t>
  </si>
  <si>
    <t>June</t>
  </si>
  <si>
    <t>Annual Target</t>
  </si>
  <si>
    <t>Target Remaining</t>
  </si>
  <si>
    <t>Time Remaining</t>
  </si>
  <si>
    <t>Monthly Target</t>
  </si>
  <si>
    <t>Item</t>
  </si>
  <si>
    <t>Value</t>
  </si>
  <si>
    <t>Facebook Ad Cost</t>
  </si>
  <si>
    <t>profit = students*Course Fee-350000</t>
  </si>
  <si>
    <t>Instructor Cost</t>
  </si>
  <si>
    <t>Other Cost</t>
  </si>
  <si>
    <t>Total Cost</t>
  </si>
  <si>
    <t>Course Fee</t>
  </si>
  <si>
    <t>?</t>
  </si>
  <si>
    <t>5 লক্ষ টাকা Profit করতে Course Fee koto লাগবে? Student=100</t>
  </si>
  <si>
    <t>Student</t>
  </si>
  <si>
    <t>Course fee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</si>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</sst>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20"/>
      <color theme="1"/>
      <name val="Calibri"/>
    </font>
    <font>
      <sz val="22"/>
      <color theme="1"/>
      <name val="Calibri"/>
    </font>
    <font>
      <sz val="18"/>
      <color theme="1"/>
      <name val="Calibri"/>
    </font>
    <font>
      <sz val="24"/>
      <color theme="1"/>
      <name val="Calibri"/>
    </font>
    <font>
      <b/>
      <sz val="18"/>
      <color theme="1"/>
      <name val="Calibri"/>
    </font>
    <font>
      <b/>
      <sz val="21"/>
      <color theme="1"/>
      <name val="Calibri"/>
      <scheme val="minor"/>
    </font>
    <font>
      <sz val="28"/>
      <color theme="1"/>
      <name val="Calibri"/>
    </font>
    <font>
      <sz val="36"/>
      <color theme="1"/>
      <name val="Calibri"/>
    </font>
    <font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/>
    <xf numFmtId="0" fontId="1" fillId="0" borderId="0" xfId="0" applyFont="1" applyAlignme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theme="4" tint="0.39994506668294322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2" workbookViewId="0">
      <selection activeCell="C2" sqref="C2:C11"/>
    </sheetView>
  </sheetViews>
  <sheetFormatPr defaultColWidth="14.42578125" defaultRowHeight="15" customHeight="1" x14ac:dyDescent="0.25"/>
  <cols>
    <col min="1" max="6" width="20.7109375" customWidth="1"/>
    <col min="7" max="7" width="23.5703125" customWidth="1"/>
    <col min="8" max="8" width="20.7109375" customWidth="1"/>
    <col min="9" max="26" width="8.7109375" customWidth="1"/>
  </cols>
  <sheetData>
    <row r="1" spans="1:8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x14ac:dyDescent="0.25">
      <c r="A2" s="24" t="s">
        <v>8</v>
      </c>
      <c r="B2" s="2" t="s">
        <v>9</v>
      </c>
      <c r="C2" s="2" t="s">
        <v>10</v>
      </c>
      <c r="D2" s="2">
        <v>18000</v>
      </c>
      <c r="E2" s="2">
        <v>20000</v>
      </c>
      <c r="F2" s="2">
        <v>-2000</v>
      </c>
      <c r="G2" s="2">
        <v>90</v>
      </c>
      <c r="H2" s="3">
        <v>46213</v>
      </c>
    </row>
    <row r="3" spans="1:8" ht="26.25" x14ac:dyDescent="0.25">
      <c r="A3" s="2" t="s">
        <v>11</v>
      </c>
      <c r="B3" s="2" t="s">
        <v>12</v>
      </c>
      <c r="C3" s="2" t="s">
        <v>13</v>
      </c>
      <c r="D3" s="2">
        <v>25000</v>
      </c>
      <c r="E3" s="2">
        <v>22000</v>
      </c>
      <c r="F3" s="2">
        <v>3000</v>
      </c>
      <c r="G3" s="2">
        <v>110</v>
      </c>
      <c r="H3" s="3">
        <v>46228</v>
      </c>
    </row>
    <row r="4" spans="1:8" ht="26.25" x14ac:dyDescent="0.25">
      <c r="A4" s="2" t="s">
        <v>14</v>
      </c>
      <c r="B4" s="2" t="s">
        <v>15</v>
      </c>
      <c r="C4" s="2" t="s">
        <v>16</v>
      </c>
      <c r="D4" s="2">
        <v>20000</v>
      </c>
      <c r="E4" s="2">
        <v>18000</v>
      </c>
      <c r="F4" s="2">
        <v>-4000</v>
      </c>
      <c r="G4" s="2">
        <v>78</v>
      </c>
      <c r="H4" s="3">
        <v>46246</v>
      </c>
    </row>
    <row r="5" spans="1:8" ht="26.25" x14ac:dyDescent="0.25">
      <c r="A5" s="2" t="s">
        <v>17</v>
      </c>
      <c r="B5" s="2" t="s">
        <v>18</v>
      </c>
      <c r="C5" s="2" t="s">
        <v>19</v>
      </c>
      <c r="D5" s="2">
        <v>32000</v>
      </c>
      <c r="E5" s="2">
        <v>30000</v>
      </c>
      <c r="F5" s="2">
        <v>2000</v>
      </c>
      <c r="G5" s="2">
        <v>105</v>
      </c>
      <c r="H5" s="3">
        <v>46208</v>
      </c>
    </row>
    <row r="6" spans="1:8" ht="26.25" x14ac:dyDescent="0.25">
      <c r="A6" s="2" t="s">
        <v>20</v>
      </c>
      <c r="B6" s="2" t="s">
        <v>21</v>
      </c>
      <c r="C6" s="2" t="s">
        <v>22</v>
      </c>
      <c r="D6" s="2">
        <v>21000</v>
      </c>
      <c r="E6" s="2">
        <v>20000</v>
      </c>
      <c r="F6" s="2">
        <v>1000</v>
      </c>
      <c r="G6" s="2">
        <v>102</v>
      </c>
      <c r="H6" s="3">
        <v>46264</v>
      </c>
    </row>
    <row r="7" spans="1:8" ht="26.25" x14ac:dyDescent="0.25">
      <c r="A7" s="2" t="s">
        <v>23</v>
      </c>
      <c r="B7" s="2" t="s">
        <v>24</v>
      </c>
      <c r="C7" s="2" t="s">
        <v>10</v>
      </c>
      <c r="D7" s="2">
        <v>19500</v>
      </c>
      <c r="E7" s="2">
        <v>20000</v>
      </c>
      <c r="F7" s="2">
        <v>-500</v>
      </c>
      <c r="G7" s="2">
        <v>98</v>
      </c>
      <c r="H7" s="3">
        <v>46221</v>
      </c>
    </row>
    <row r="8" spans="1:8" ht="26.25" x14ac:dyDescent="0.25">
      <c r="A8" s="2" t="s">
        <v>25</v>
      </c>
      <c r="B8" s="2" t="s">
        <v>26</v>
      </c>
      <c r="C8" s="2" t="s">
        <v>19</v>
      </c>
      <c r="D8" s="2">
        <v>36000</v>
      </c>
      <c r="E8" s="2">
        <v>32000</v>
      </c>
      <c r="F8" s="2">
        <v>4000</v>
      </c>
      <c r="G8" s="2">
        <v>115</v>
      </c>
      <c r="H8" s="3">
        <v>46242</v>
      </c>
    </row>
    <row r="9" spans="1:8" ht="26.25" x14ac:dyDescent="0.25">
      <c r="A9" s="2" t="s">
        <v>27</v>
      </c>
      <c r="B9" s="2" t="s">
        <v>28</v>
      </c>
      <c r="C9" s="2" t="s">
        <v>13</v>
      </c>
      <c r="D9" s="2">
        <v>17000</v>
      </c>
      <c r="E9" s="2">
        <v>18000</v>
      </c>
      <c r="F9" s="2">
        <v>-1000</v>
      </c>
      <c r="G9" s="2">
        <v>94</v>
      </c>
      <c r="H9" s="3">
        <v>46231</v>
      </c>
    </row>
    <row r="10" spans="1:8" ht="26.25" x14ac:dyDescent="0.25">
      <c r="A10" s="2" t="s">
        <v>29</v>
      </c>
      <c r="B10" s="2" t="s">
        <v>30</v>
      </c>
      <c r="C10" s="2" t="s">
        <v>22</v>
      </c>
      <c r="D10" s="2">
        <v>28000</v>
      </c>
      <c r="E10" s="2">
        <v>26000</v>
      </c>
      <c r="F10" s="2">
        <v>2000</v>
      </c>
      <c r="G10" s="2">
        <v>108</v>
      </c>
      <c r="H10" s="3">
        <v>46267</v>
      </c>
    </row>
    <row r="11" spans="1:8" ht="26.25" x14ac:dyDescent="0.25">
      <c r="A11" s="2" t="s">
        <v>31</v>
      </c>
      <c r="B11" s="2" t="s">
        <v>32</v>
      </c>
      <c r="C11" s="2" t="s">
        <v>16</v>
      </c>
      <c r="D11" s="2">
        <v>12000</v>
      </c>
      <c r="E11" s="2">
        <v>15000</v>
      </c>
      <c r="F11" s="2">
        <v>-3000</v>
      </c>
      <c r="G11" s="2">
        <v>80</v>
      </c>
      <c r="H11" s="3">
        <v>46218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11">
    <cfRule type="top10" dxfId="8" priority="5" bottom="1" rank="3"/>
    <cfRule type="top10" dxfId="7" priority="4" bottom="1" rank="3"/>
  </conditionalFormatting>
  <conditionalFormatting sqref="F2:F11">
    <cfRule type="top10" dxfId="6" priority="3" rank="3"/>
  </conditionalFormatting>
  <conditionalFormatting sqref="H2:H11">
    <cfRule type="timePeriod" dxfId="5" priority="2" timePeriod="thisMonth">
      <formula>AND(MONTH(H2)=MONTH(TODAY()),YEAR(H2)=YEAR(TODAY()))</formula>
    </cfRule>
  </conditionalFormatting>
  <conditionalFormatting sqref="H1:H10">
    <cfRule type="timePeriod" dxfId="0" priority="1" timePeriod="thisMonth">
      <formula>AND(MONTH(H1)=MONTH(TODAY()),YEAR(H1)=YEAR(TODAY()))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7" workbookViewId="0">
      <selection activeCell="F12" sqref="F12"/>
    </sheetView>
  </sheetViews>
  <sheetFormatPr defaultColWidth="14.42578125" defaultRowHeight="15" customHeight="1" x14ac:dyDescent="0.25"/>
  <cols>
    <col min="1" max="3" width="20.7109375" customWidth="1"/>
    <col min="4" max="4" width="28.7109375" customWidth="1"/>
    <col min="5" max="5" width="8.7109375" customWidth="1"/>
    <col min="6" max="6" width="29" customWidth="1"/>
    <col min="7" max="7" width="32.85546875" customWidth="1"/>
    <col min="8" max="26" width="8.7109375" customWidth="1"/>
  </cols>
  <sheetData>
    <row r="1" spans="1:7" ht="26.25" x14ac:dyDescent="0.4">
      <c r="A1" s="1" t="s">
        <v>33</v>
      </c>
      <c r="B1" s="1" t="s">
        <v>34</v>
      </c>
      <c r="C1" s="4" t="s">
        <v>35</v>
      </c>
      <c r="D1" s="5" t="s">
        <v>36</v>
      </c>
    </row>
    <row r="2" spans="1:7" ht="26.25" x14ac:dyDescent="0.4">
      <c r="A2" s="2" t="s">
        <v>37</v>
      </c>
      <c r="B2" s="2">
        <v>40</v>
      </c>
      <c r="C2" s="6">
        <v>5000</v>
      </c>
      <c r="D2" s="7">
        <f>B2*C2</f>
        <v>200000</v>
      </c>
    </row>
    <row r="3" spans="1:7" ht="26.25" x14ac:dyDescent="0.4">
      <c r="A3" s="2" t="s">
        <v>38</v>
      </c>
      <c r="B3" s="2">
        <v>45</v>
      </c>
      <c r="C3" s="6">
        <v>5000</v>
      </c>
      <c r="D3" s="7">
        <f t="shared" ref="D3:D9" si="0">B3*C3</f>
        <v>225000</v>
      </c>
      <c r="F3" s="8" t="s">
        <v>39</v>
      </c>
      <c r="G3" s="8">
        <f>SUM(D2:D7)</f>
        <v>1575000</v>
      </c>
    </row>
    <row r="4" spans="1:7" ht="26.25" x14ac:dyDescent="0.4">
      <c r="A4" s="2" t="s">
        <v>40</v>
      </c>
      <c r="B4" s="2">
        <v>50</v>
      </c>
      <c r="C4" s="6">
        <v>5000</v>
      </c>
      <c r="D4" s="7">
        <f t="shared" si="0"/>
        <v>250000</v>
      </c>
    </row>
    <row r="5" spans="1:7" ht="26.25" x14ac:dyDescent="0.4">
      <c r="A5" s="2" t="s">
        <v>41</v>
      </c>
      <c r="B5" s="2">
        <v>55</v>
      </c>
      <c r="C5" s="6">
        <v>5000</v>
      </c>
      <c r="D5" s="7">
        <f t="shared" si="0"/>
        <v>275000</v>
      </c>
    </row>
    <row r="6" spans="1:7" ht="26.25" x14ac:dyDescent="0.4">
      <c r="A6" s="2" t="s">
        <v>42</v>
      </c>
      <c r="B6" s="2">
        <v>60</v>
      </c>
      <c r="C6" s="6">
        <v>5000</v>
      </c>
      <c r="D6" s="7">
        <f t="shared" si="0"/>
        <v>300000</v>
      </c>
    </row>
    <row r="7" spans="1:7" ht="28.5" x14ac:dyDescent="0.45">
      <c r="A7" s="2" t="s">
        <v>43</v>
      </c>
      <c r="B7" s="2">
        <v>65</v>
      </c>
      <c r="C7" s="6">
        <v>5000</v>
      </c>
      <c r="D7" s="7">
        <f t="shared" si="0"/>
        <v>325000</v>
      </c>
      <c r="F7" s="8" t="s">
        <v>44</v>
      </c>
      <c r="G7" s="9">
        <v>3000000</v>
      </c>
    </row>
    <row r="8" spans="1:7" ht="31.5" x14ac:dyDescent="0.5">
      <c r="B8" s="9">
        <v>47.5</v>
      </c>
      <c r="C8" s="10">
        <v>5000</v>
      </c>
      <c r="D8" s="7">
        <f t="shared" si="0"/>
        <v>237500</v>
      </c>
      <c r="F8" s="11" t="s">
        <v>45</v>
      </c>
      <c r="G8" s="12">
        <f>G7-G3</f>
        <v>1425000</v>
      </c>
    </row>
    <row r="9" spans="1:7" ht="26.25" x14ac:dyDescent="0.4">
      <c r="B9" s="13">
        <v>60</v>
      </c>
      <c r="C9" s="10">
        <v>3958.333333333333</v>
      </c>
      <c r="D9" s="7">
        <f>B9*C9</f>
        <v>237499.99999999997</v>
      </c>
      <c r="F9" s="8" t="s">
        <v>46</v>
      </c>
      <c r="G9" s="8">
        <v>6</v>
      </c>
    </row>
    <row r="10" spans="1:7" ht="26.25" x14ac:dyDescent="0.4">
      <c r="D10" s="7"/>
      <c r="F10" s="11" t="s">
        <v>47</v>
      </c>
      <c r="G10" s="8">
        <f>G8/G9</f>
        <v>237500</v>
      </c>
    </row>
    <row r="11" spans="1:7" ht="26.25" x14ac:dyDescent="0.4">
      <c r="D11" s="7"/>
    </row>
    <row r="12" spans="1:7" ht="26.25" x14ac:dyDescent="0.4">
      <c r="D12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1" width="54.140625" customWidth="1"/>
    <col min="2" max="2" width="20.7109375" customWidth="1"/>
    <col min="3" max="4" width="8.7109375" customWidth="1"/>
    <col min="5" max="5" width="19.28515625" customWidth="1"/>
    <col min="6" max="6" width="21.42578125" customWidth="1"/>
    <col min="7" max="7" width="73.85546875" customWidth="1"/>
    <col min="8" max="26" width="8.7109375" customWidth="1"/>
  </cols>
  <sheetData>
    <row r="1" spans="1:7" ht="26.25" x14ac:dyDescent="0.25">
      <c r="A1" s="1" t="s">
        <v>48</v>
      </c>
      <c r="B1" s="14" t="s">
        <v>49</v>
      </c>
    </row>
    <row r="2" spans="1:7" ht="26.25" x14ac:dyDescent="0.4">
      <c r="A2" s="15" t="s">
        <v>50</v>
      </c>
      <c r="B2" s="16">
        <v>200000</v>
      </c>
      <c r="G2" s="8" t="s">
        <v>51</v>
      </c>
    </row>
    <row r="3" spans="1:7" ht="26.25" x14ac:dyDescent="0.25">
      <c r="A3" s="15" t="s">
        <v>52</v>
      </c>
      <c r="B3" s="16">
        <v>100000</v>
      </c>
    </row>
    <row r="4" spans="1:7" ht="26.25" x14ac:dyDescent="0.25">
      <c r="A4" s="15" t="s">
        <v>53</v>
      </c>
      <c r="B4" s="16">
        <v>50000</v>
      </c>
    </row>
    <row r="5" spans="1:7" ht="26.25" x14ac:dyDescent="0.25">
      <c r="A5" s="17" t="s">
        <v>54</v>
      </c>
      <c r="B5" s="16">
        <v>350000</v>
      </c>
    </row>
    <row r="6" spans="1:7" ht="26.25" x14ac:dyDescent="0.25">
      <c r="A6" s="15" t="s">
        <v>55</v>
      </c>
      <c r="B6" s="16">
        <v>5000</v>
      </c>
    </row>
    <row r="7" spans="1:7" ht="26.25" x14ac:dyDescent="0.25">
      <c r="A7" s="15" t="s">
        <v>5</v>
      </c>
      <c r="B7" s="16" t="s">
        <v>56</v>
      </c>
    </row>
    <row r="9" spans="1:7" ht="46.5" x14ac:dyDescent="0.25">
      <c r="A9" s="18" t="s">
        <v>57</v>
      </c>
    </row>
    <row r="10" spans="1:7" ht="27.75" x14ac:dyDescent="0.45">
      <c r="E10" s="19" t="s">
        <v>58</v>
      </c>
      <c r="F10" s="20" t="s">
        <v>59</v>
      </c>
      <c r="G10" s="21" t="s">
        <v>60</v>
      </c>
    </row>
    <row r="11" spans="1:7" ht="46.5" x14ac:dyDescent="0.7">
      <c r="E11" s="22"/>
      <c r="F11" s="22"/>
      <c r="G11" s="23"/>
    </row>
    <row r="12" spans="1:7" ht="46.5" x14ac:dyDescent="0.7">
      <c r="G12" s="2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Mejbaul</cp:lastModifiedBy>
  <dcterms:created xsi:type="dcterms:W3CDTF">2026-07-19T11:37:10Z</dcterms:created>
  <dcterms:modified xsi:type="dcterms:W3CDTF">2026-09-18T12:04:19Z</dcterms:modified>
</cp:coreProperties>
</file>